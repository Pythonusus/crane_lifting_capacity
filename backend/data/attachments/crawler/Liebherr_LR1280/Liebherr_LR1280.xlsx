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"/>
    </mc:Choice>
  </mc:AlternateContent>
  <xr:revisionPtr revIDLastSave="0" documentId="13_ncr:1_{295C8612-FD4F-41C3-B90B-048781727FA3}" xr6:coauthVersionLast="47" xr6:coauthVersionMax="47" xr10:uidLastSave="{00000000-0000-0000-0000-000000000000}"/>
  <bookViews>
    <workbookView xWindow="5055" yWindow="2385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8" l="1"/>
  <c r="N8" i="18"/>
  <c r="M8" i="18"/>
  <c r="L8" i="18"/>
  <c r="K8" i="18"/>
  <c r="J8" i="18"/>
  <c r="I8" i="18"/>
  <c r="H8" i="18"/>
  <c r="G8" i="18"/>
  <c r="F8" i="18"/>
  <c r="E8" i="18"/>
  <c r="D8" i="18"/>
  <c r="C8" i="18"/>
</calcChain>
</file>

<file path=xl/sharedStrings.xml><?xml version="1.0" encoding="utf-8"?>
<sst xmlns="http://schemas.openxmlformats.org/spreadsheetml/2006/main" count="17" uniqueCount="17">
  <si>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</si>
  <si>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</si>
  <si>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</si>
  <si>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</si>
  <si>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</si>
  <si>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</si>
  <si>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</si>
  <si>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</si>
  <si>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</si>
  <si>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</si>
  <si>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</si>
  <si>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</si>
  <si>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</si>
  <si>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 xml:space="preserve">Таблица грузоподъемности крана Liebherr LR1280 (Основная стрела), т </t>
  </si>
  <si>
    <t>LR1280</t>
  </si>
  <si>
    <t>4.3</t>
  </si>
  <si>
    <t>91.05.06-028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</si>
</sst>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O39"/>
  <sheetViews>
    <sheetView tabSelected="1" zoomScaleNormal="100" workbookViewId="0">
      <selection activeCell="D2" sqref="D2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5" x14ac:dyDescent="0.25">
      <c r="A1" s="1" t="s">
        <v>5</v>
      </c>
      <c r="B1" s="1" t="s">
        <v>14</v>
      </c>
      <c r="D1" s="15" t="s">
        <v>3</v>
      </c>
    </row>
    <row r="2" spans="1:15" x14ac:dyDescent="0.25">
      <c r="A2" s="1" t="s">
        <v>6</v>
      </c>
      <c r="B2" s="1" t="s">
        <v>2</v>
      </c>
      <c r="D2" s="15">
        <v>13950.52</v>
      </c>
    </row>
    <row r="3" spans="1:15" x14ac:dyDescent="0.25">
      <c r="A3" s="1" t="s">
        <v>7</v>
      </c>
      <c r="B3" s="1" t="s">
        <v>12</v>
      </c>
      <c r="D3" s="15" t="s">
        <v>4</v>
      </c>
    </row>
    <row r="4" spans="1:15" x14ac:dyDescent="0.25">
      <c r="A4" s="1" t="s">
        <v>8</v>
      </c>
      <c r="B4" s="1" t="s">
        <v>9</v>
      </c>
      <c r="D4" s="15">
        <v>1147.3800000000001</v>
      </c>
    </row>
    <row r="5" spans="1:15" ht="15.75" thickBot="1" x14ac:dyDescent="0.3">
      <c r="A5" s="1" t="s">
        <v>10</v>
      </c>
      <c r="B5" s="1" t="s">
        <v>16</v>
      </c>
      <c r="D5" s="15" t="s">
        <v>11</v>
      </c>
      <c r="G5" s="16">
        <v>280</v>
      </c>
    </row>
    <row r="6" spans="1:15" ht="20.25" customHeight="1" thickBot="1" x14ac:dyDescent="0.3">
      <c r="B6" s="24" t="s">
        <v>13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6"/>
    </row>
    <row r="7" spans="1:15" ht="19.5" customHeight="1" thickBot="1" x14ac:dyDescent="0.3">
      <c r="B7" s="24" t="s">
        <v>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</row>
    <row r="8" spans="1:15" ht="15.75" thickBot="1" x14ac:dyDescent="0.3">
      <c r="B8" s="2" t="s">
        <v>1</v>
      </c>
      <c r="C8" s="18">
        <f>20</f>
        <v>20</v>
      </c>
      <c r="D8" s="19">
        <f>25.7</f>
        <v>25.7</v>
      </c>
      <c r="E8" s="19">
        <f>31.7</f>
        <v>31.7</v>
      </c>
      <c r="F8" s="19">
        <f>37.4</f>
        <v>37.4</v>
      </c>
      <c r="G8" s="19">
        <f>43.4</f>
        <v>43.4</v>
      </c>
      <c r="H8" s="19">
        <f>49.1</f>
        <v>49.1</v>
      </c>
      <c r="I8" s="19">
        <f>55.1</f>
        <v>55.1</v>
      </c>
      <c r="J8" s="19">
        <f>60.8</f>
        <v>60.8</v>
      </c>
      <c r="K8" s="19">
        <f>66.8</f>
        <v>66.8</v>
      </c>
      <c r="L8" s="19">
        <f>72.5</f>
        <v>72.5</v>
      </c>
      <c r="M8" s="19">
        <f>78.5</f>
        <v>78.5</v>
      </c>
      <c r="N8" s="19">
        <f>84.2</f>
        <v>84.2</v>
      </c>
      <c r="O8" s="20">
        <f>90.2</f>
        <v>90.2</v>
      </c>
    </row>
    <row r="9" spans="1:15" x14ac:dyDescent="0.25">
      <c r="B9" s="3" t="s">
        <v>15</v>
      </c>
      <c r="C9" s="4">
        <v>280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ht="17.25" customHeight="1" x14ac:dyDescent="0.25">
      <c r="B10" s="7">
        <v>5</v>
      </c>
      <c r="C10" s="8">
        <v>265.39999999999998</v>
      </c>
      <c r="D10" s="9">
        <v>256.60000000000002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</row>
    <row r="11" spans="1:15" x14ac:dyDescent="0.25">
      <c r="B11" s="11">
        <v>6</v>
      </c>
      <c r="C11" s="12">
        <v>231.8</v>
      </c>
      <c r="D11" s="13">
        <v>225.5</v>
      </c>
      <c r="E11" s="13">
        <v>205.4</v>
      </c>
      <c r="F11" s="13">
        <v>188.7</v>
      </c>
      <c r="G11" s="13">
        <v>173.6</v>
      </c>
      <c r="H11" s="13"/>
      <c r="I11" s="13"/>
      <c r="J11" s="13"/>
      <c r="K11" s="13"/>
      <c r="L11" s="13"/>
      <c r="M11" s="13"/>
      <c r="N11" s="13"/>
      <c r="O11" s="14"/>
    </row>
    <row r="12" spans="1:15" x14ac:dyDescent="0.25">
      <c r="B12" s="7">
        <v>7</v>
      </c>
      <c r="C12" s="8">
        <v>202.4</v>
      </c>
      <c r="D12" s="9">
        <v>187.3</v>
      </c>
      <c r="E12" s="9">
        <v>172.4</v>
      </c>
      <c r="F12" s="9">
        <v>160.19999999999999</v>
      </c>
      <c r="G12" s="9">
        <v>148.9</v>
      </c>
      <c r="H12" s="9">
        <v>139.4</v>
      </c>
      <c r="I12" s="9">
        <v>120.5</v>
      </c>
      <c r="J12" s="9"/>
      <c r="K12" s="9"/>
      <c r="L12" s="9"/>
      <c r="M12" s="9"/>
      <c r="N12" s="9"/>
      <c r="O12" s="10"/>
    </row>
    <row r="13" spans="1:15" x14ac:dyDescent="0.25">
      <c r="B13" s="11">
        <v>8</v>
      </c>
      <c r="C13" s="12">
        <v>171.6</v>
      </c>
      <c r="D13" s="13">
        <v>159.6</v>
      </c>
      <c r="E13" s="13">
        <v>148.4</v>
      </c>
      <c r="F13" s="13">
        <v>139</v>
      </c>
      <c r="G13" s="13">
        <v>130.19999999999999</v>
      </c>
      <c r="H13" s="13">
        <v>122.6</v>
      </c>
      <c r="I13" s="13">
        <v>115.4</v>
      </c>
      <c r="J13" s="13">
        <v>96.7</v>
      </c>
      <c r="K13" s="13">
        <v>80.900000000000006</v>
      </c>
      <c r="L13" s="13">
        <v>65.099999999999994</v>
      </c>
      <c r="M13" s="13"/>
      <c r="N13" s="13"/>
      <c r="O13" s="14"/>
    </row>
    <row r="14" spans="1:15" x14ac:dyDescent="0.25">
      <c r="B14" s="7">
        <v>9</v>
      </c>
      <c r="C14" s="8">
        <v>148</v>
      </c>
      <c r="D14" s="9">
        <v>138.80000000000001</v>
      </c>
      <c r="E14" s="9">
        <v>130</v>
      </c>
      <c r="F14" s="9">
        <v>122.6</v>
      </c>
      <c r="G14" s="9">
        <v>115.4</v>
      </c>
      <c r="H14" s="9">
        <v>109.3</v>
      </c>
      <c r="I14" s="9">
        <v>103.3</v>
      </c>
      <c r="J14" s="9">
        <v>92.1</v>
      </c>
      <c r="K14" s="9">
        <v>78.400000000000006</v>
      </c>
      <c r="L14" s="9">
        <v>64.7</v>
      </c>
      <c r="M14" s="9">
        <v>59.4</v>
      </c>
      <c r="N14" s="9">
        <v>48.4</v>
      </c>
      <c r="O14" s="10"/>
    </row>
    <row r="15" spans="1:15" x14ac:dyDescent="0.25">
      <c r="B15" s="11">
        <v>10</v>
      </c>
      <c r="C15" s="12">
        <v>130</v>
      </c>
      <c r="D15" s="13">
        <v>122.7</v>
      </c>
      <c r="E15" s="13">
        <v>115.5</v>
      </c>
      <c r="F15" s="13">
        <v>109.5</v>
      </c>
      <c r="G15" s="13">
        <v>103.5</v>
      </c>
      <c r="H15" s="13">
        <v>98.4</v>
      </c>
      <c r="I15" s="13">
        <v>93.4</v>
      </c>
      <c r="J15" s="13">
        <v>88.9</v>
      </c>
      <c r="K15" s="13">
        <v>74.900000000000006</v>
      </c>
      <c r="L15" s="13">
        <v>61.6</v>
      </c>
      <c r="M15" s="13">
        <v>58.3</v>
      </c>
      <c r="N15" s="13">
        <v>47.9</v>
      </c>
      <c r="O15" s="14">
        <v>40.9</v>
      </c>
    </row>
    <row r="16" spans="1:15" x14ac:dyDescent="0.25">
      <c r="B16" s="7">
        <v>12</v>
      </c>
      <c r="C16" s="8">
        <v>102</v>
      </c>
      <c r="D16" s="9">
        <v>99.2</v>
      </c>
      <c r="E16" s="9">
        <v>94.2</v>
      </c>
      <c r="F16" s="9">
        <v>89.9</v>
      </c>
      <c r="G16" s="9">
        <v>85.5</v>
      </c>
      <c r="H16" s="9">
        <v>81.8</v>
      </c>
      <c r="I16" s="9">
        <v>78</v>
      </c>
      <c r="J16" s="9">
        <v>74.599999999999994</v>
      </c>
      <c r="K16" s="9">
        <v>63.3</v>
      </c>
      <c r="L16" s="9">
        <v>57.2</v>
      </c>
      <c r="M16" s="9">
        <v>56</v>
      </c>
      <c r="N16" s="9">
        <v>45.6</v>
      </c>
      <c r="O16" s="10">
        <v>39.1</v>
      </c>
    </row>
    <row r="17" spans="2:15" x14ac:dyDescent="0.25">
      <c r="B17" s="11">
        <v>14</v>
      </c>
      <c r="C17" s="12">
        <v>81.7</v>
      </c>
      <c r="D17" s="13">
        <v>82</v>
      </c>
      <c r="E17" s="13">
        <v>79.2</v>
      </c>
      <c r="F17" s="13">
        <v>75.900000000000006</v>
      </c>
      <c r="G17" s="13">
        <v>72.5</v>
      </c>
      <c r="H17" s="13">
        <v>69.599999999999994</v>
      </c>
      <c r="I17" s="13">
        <v>66.599999999999994</v>
      </c>
      <c r="J17" s="13">
        <v>63.9</v>
      </c>
      <c r="K17" s="13">
        <v>61.1</v>
      </c>
      <c r="L17" s="13">
        <v>52.1</v>
      </c>
      <c r="M17" s="13">
        <v>51.9</v>
      </c>
      <c r="N17" s="13">
        <v>43.5</v>
      </c>
      <c r="O17" s="14">
        <v>37.700000000000003</v>
      </c>
    </row>
    <row r="18" spans="2:15" x14ac:dyDescent="0.25">
      <c r="B18" s="7">
        <v>16</v>
      </c>
      <c r="C18" s="8">
        <v>67.7</v>
      </c>
      <c r="D18" s="9">
        <v>68</v>
      </c>
      <c r="E18" s="9">
        <v>67.8</v>
      </c>
      <c r="F18" s="9">
        <v>65.5</v>
      </c>
      <c r="G18" s="9">
        <v>62.7</v>
      </c>
      <c r="H18" s="9">
        <v>60.3</v>
      </c>
      <c r="I18" s="9">
        <v>57.8</v>
      </c>
      <c r="J18" s="9">
        <v>55.6</v>
      </c>
      <c r="K18" s="9">
        <v>53.3</v>
      </c>
      <c r="L18" s="9">
        <v>48.4</v>
      </c>
      <c r="M18" s="9">
        <v>48.4</v>
      </c>
      <c r="N18" s="9">
        <v>41.5</v>
      </c>
      <c r="O18" s="10">
        <v>35.9</v>
      </c>
    </row>
    <row r="19" spans="2:15" x14ac:dyDescent="0.25">
      <c r="B19" s="11">
        <v>18</v>
      </c>
      <c r="C19" s="12">
        <v>57.5</v>
      </c>
      <c r="D19" s="13">
        <v>57.9</v>
      </c>
      <c r="E19" s="13">
        <v>57.7</v>
      </c>
      <c r="F19" s="13">
        <v>57.4</v>
      </c>
      <c r="G19" s="13">
        <v>55</v>
      </c>
      <c r="H19" s="13">
        <v>53</v>
      </c>
      <c r="I19" s="13">
        <v>50.9</v>
      </c>
      <c r="J19" s="13">
        <v>49</v>
      </c>
      <c r="K19" s="13">
        <v>47</v>
      </c>
      <c r="L19" s="13">
        <v>44.4</v>
      </c>
      <c r="M19" s="13">
        <v>43.3</v>
      </c>
      <c r="N19" s="13">
        <v>39.9</v>
      </c>
      <c r="O19" s="14">
        <v>34.5</v>
      </c>
    </row>
    <row r="20" spans="2:15" x14ac:dyDescent="0.25">
      <c r="B20" s="7">
        <v>20</v>
      </c>
      <c r="C20" s="8">
        <v>49.6</v>
      </c>
      <c r="D20" s="9">
        <v>50.1</v>
      </c>
      <c r="E20" s="9">
        <v>49.9</v>
      </c>
      <c r="F20" s="9">
        <v>49.7</v>
      </c>
      <c r="G20" s="9">
        <v>48.9</v>
      </c>
      <c r="H20" s="9">
        <v>47.1</v>
      </c>
      <c r="I20" s="9">
        <v>45.2</v>
      </c>
      <c r="J20" s="9">
        <v>43.6</v>
      </c>
      <c r="K20" s="9">
        <v>41.8</v>
      </c>
      <c r="L20" s="9">
        <v>40.200000000000003</v>
      </c>
      <c r="M20" s="9">
        <v>38.299999999999997</v>
      </c>
      <c r="N20" s="9">
        <v>37.1</v>
      </c>
      <c r="O20" s="10">
        <v>33.299999999999997</v>
      </c>
    </row>
    <row r="21" spans="2:15" x14ac:dyDescent="0.25">
      <c r="B21" s="11">
        <v>22</v>
      </c>
      <c r="C21" s="12"/>
      <c r="D21" s="13">
        <v>44</v>
      </c>
      <c r="E21" s="13">
        <v>43.8</v>
      </c>
      <c r="F21" s="13">
        <v>43.6</v>
      </c>
      <c r="G21" s="13">
        <v>43.3</v>
      </c>
      <c r="H21" s="13">
        <v>42.2</v>
      </c>
      <c r="I21" s="13">
        <v>40.6</v>
      </c>
      <c r="J21" s="13">
        <v>39.1</v>
      </c>
      <c r="K21" s="13">
        <v>37.5</v>
      </c>
      <c r="L21" s="13">
        <v>36.1</v>
      </c>
      <c r="M21" s="13">
        <v>34.6</v>
      </c>
      <c r="N21" s="13">
        <v>33.200000000000003</v>
      </c>
      <c r="O21" s="14">
        <v>30.6</v>
      </c>
    </row>
    <row r="22" spans="2:15" x14ac:dyDescent="0.25">
      <c r="B22" s="7">
        <v>24</v>
      </c>
      <c r="C22" s="8"/>
      <c r="D22" s="9">
        <v>39</v>
      </c>
      <c r="E22" s="9">
        <v>38.799999999999997</v>
      </c>
      <c r="F22" s="9">
        <v>38.700000000000003</v>
      </c>
      <c r="G22" s="9">
        <v>38.299999999999997</v>
      </c>
      <c r="H22" s="9">
        <v>38</v>
      </c>
      <c r="I22" s="9">
        <v>36.6</v>
      </c>
      <c r="J22" s="9">
        <v>35.299999999999997</v>
      </c>
      <c r="K22" s="9">
        <v>33.799999999999997</v>
      </c>
      <c r="L22" s="9">
        <v>32.5</v>
      </c>
      <c r="M22" s="9">
        <v>31.1</v>
      </c>
      <c r="N22" s="9">
        <v>29.9</v>
      </c>
      <c r="O22" s="10">
        <v>28.3</v>
      </c>
    </row>
    <row r="23" spans="2:15" x14ac:dyDescent="0.25">
      <c r="B23" s="11">
        <v>26</v>
      </c>
      <c r="C23" s="12"/>
      <c r="D23" s="13">
        <v>34.799999999999997</v>
      </c>
      <c r="E23" s="13">
        <v>34.799999999999997</v>
      </c>
      <c r="F23" s="13">
        <v>34.6</v>
      </c>
      <c r="G23" s="13">
        <v>34.200000000000003</v>
      </c>
      <c r="H23" s="13">
        <v>33.9</v>
      </c>
      <c r="I23" s="13">
        <v>33.299999999999997</v>
      </c>
      <c r="J23" s="13">
        <v>32</v>
      </c>
      <c r="K23" s="13">
        <v>30.7</v>
      </c>
      <c r="L23" s="13">
        <v>29.5</v>
      </c>
      <c r="M23" s="13">
        <v>28.2</v>
      </c>
      <c r="N23" s="13">
        <v>27</v>
      </c>
      <c r="O23" s="14">
        <v>25.8</v>
      </c>
    </row>
    <row r="24" spans="2:15" x14ac:dyDescent="0.25">
      <c r="B24" s="7">
        <v>28</v>
      </c>
      <c r="C24" s="8"/>
      <c r="D24" s="9"/>
      <c r="E24" s="9">
        <v>31.3</v>
      </c>
      <c r="F24" s="9">
        <v>31.2</v>
      </c>
      <c r="G24" s="9">
        <v>30.8</v>
      </c>
      <c r="H24" s="9">
        <v>30.5</v>
      </c>
      <c r="I24" s="9">
        <v>30.1</v>
      </c>
      <c r="J24" s="9">
        <v>29.2</v>
      </c>
      <c r="K24" s="9">
        <v>28</v>
      </c>
      <c r="L24" s="9">
        <v>26.8</v>
      </c>
      <c r="M24" s="9">
        <v>25.6</v>
      </c>
      <c r="N24" s="9">
        <v>24.5</v>
      </c>
      <c r="O24" s="10">
        <v>23.4</v>
      </c>
    </row>
    <row r="25" spans="2:15" x14ac:dyDescent="0.25">
      <c r="B25" s="11">
        <v>30</v>
      </c>
      <c r="C25" s="12"/>
      <c r="D25" s="13"/>
      <c r="E25" s="13">
        <v>28.3</v>
      </c>
      <c r="F25" s="13">
        <v>28.3</v>
      </c>
      <c r="G25" s="13">
        <v>27.9</v>
      </c>
      <c r="H25" s="13">
        <v>27.6</v>
      </c>
      <c r="I25" s="13">
        <v>27.7</v>
      </c>
      <c r="J25" s="13">
        <v>26.8</v>
      </c>
      <c r="K25" s="13">
        <v>25.6</v>
      </c>
      <c r="L25" s="13">
        <v>24.5</v>
      </c>
      <c r="M25" s="13">
        <v>23.4</v>
      </c>
      <c r="N25" s="13">
        <v>22.3</v>
      </c>
      <c r="O25" s="14">
        <v>21.2</v>
      </c>
    </row>
    <row r="26" spans="2:15" x14ac:dyDescent="0.25">
      <c r="B26" s="7">
        <v>32</v>
      </c>
      <c r="C26" s="8"/>
      <c r="D26" s="9"/>
      <c r="E26" s="9">
        <v>25.7</v>
      </c>
      <c r="F26" s="9">
        <v>25.8</v>
      </c>
      <c r="G26" s="9">
        <v>25.4</v>
      </c>
      <c r="H26" s="9">
        <v>25.1</v>
      </c>
      <c r="I26" s="9">
        <v>24.6</v>
      </c>
      <c r="J26" s="9">
        <v>24.3</v>
      </c>
      <c r="K26" s="9">
        <v>23.5</v>
      </c>
      <c r="L26" s="9">
        <v>22.5</v>
      </c>
      <c r="M26" s="9">
        <v>21.4</v>
      </c>
      <c r="N26" s="9">
        <v>20.399999999999999</v>
      </c>
      <c r="O26" s="10">
        <v>19.3</v>
      </c>
    </row>
    <row r="27" spans="2:15" x14ac:dyDescent="0.25">
      <c r="B27" s="11">
        <v>34</v>
      </c>
      <c r="C27" s="12"/>
      <c r="D27" s="13"/>
      <c r="E27" s="13"/>
      <c r="F27" s="13">
        <v>23.5</v>
      </c>
      <c r="G27" s="13">
        <v>23.2</v>
      </c>
      <c r="H27" s="13">
        <v>22.9</v>
      </c>
      <c r="I27" s="13">
        <v>22.4</v>
      </c>
      <c r="J27" s="13">
        <v>22.1</v>
      </c>
      <c r="K27" s="13">
        <v>21.6</v>
      </c>
      <c r="L27" s="13">
        <v>20.6</v>
      </c>
      <c r="M27" s="13">
        <v>19.600000000000001</v>
      </c>
      <c r="N27" s="13">
        <v>18.600000000000001</v>
      </c>
      <c r="O27" s="14">
        <v>17.600000000000001</v>
      </c>
    </row>
    <row r="28" spans="2:15" x14ac:dyDescent="0.25">
      <c r="B28" s="7">
        <v>36</v>
      </c>
      <c r="C28" s="8"/>
      <c r="D28" s="9"/>
      <c r="E28" s="9"/>
      <c r="F28" s="9">
        <v>21.6</v>
      </c>
      <c r="G28" s="9">
        <v>21.3</v>
      </c>
      <c r="H28" s="9">
        <v>21</v>
      </c>
      <c r="I28" s="9">
        <v>20.5</v>
      </c>
      <c r="J28" s="9">
        <v>20.100000000000001</v>
      </c>
      <c r="K28" s="9">
        <v>19.7</v>
      </c>
      <c r="L28" s="9">
        <v>19</v>
      </c>
      <c r="M28" s="9">
        <v>18</v>
      </c>
      <c r="N28" s="9">
        <v>17.100000000000001</v>
      </c>
      <c r="O28" s="10">
        <v>16.100000000000001</v>
      </c>
    </row>
    <row r="29" spans="2:15" x14ac:dyDescent="0.25">
      <c r="B29" s="11">
        <v>38</v>
      </c>
      <c r="C29" s="12"/>
      <c r="D29" s="13"/>
      <c r="E29" s="13"/>
      <c r="F29" s="13">
        <v>19.8</v>
      </c>
      <c r="G29" s="13">
        <v>19.5</v>
      </c>
      <c r="H29" s="13">
        <v>19.3</v>
      </c>
      <c r="I29" s="13">
        <v>18.8</v>
      </c>
      <c r="J29" s="13">
        <v>18.399999999999999</v>
      </c>
      <c r="K29" s="13">
        <v>17.899999999999999</v>
      </c>
      <c r="L29" s="13">
        <v>17.5</v>
      </c>
      <c r="M29" s="13">
        <v>16.5</v>
      </c>
      <c r="N29" s="13">
        <v>15.6</v>
      </c>
      <c r="O29" s="14">
        <v>14.7</v>
      </c>
    </row>
    <row r="30" spans="2:15" x14ac:dyDescent="0.25">
      <c r="B30" s="7">
        <v>40</v>
      </c>
      <c r="C30" s="8"/>
      <c r="D30" s="9"/>
      <c r="E30" s="9"/>
      <c r="F30" s="9"/>
      <c r="G30" s="9">
        <v>18</v>
      </c>
      <c r="H30" s="9">
        <v>17.7</v>
      </c>
      <c r="I30" s="9">
        <v>17.3</v>
      </c>
      <c r="J30" s="9">
        <v>16.899999999999999</v>
      </c>
      <c r="K30" s="9">
        <v>16.399999999999999</v>
      </c>
      <c r="L30" s="9">
        <v>16</v>
      </c>
      <c r="M30" s="9">
        <v>15.2</v>
      </c>
      <c r="N30" s="9">
        <v>14.3</v>
      </c>
      <c r="O30" s="10">
        <v>13.4</v>
      </c>
    </row>
    <row r="31" spans="2:15" x14ac:dyDescent="0.25">
      <c r="B31" s="11">
        <v>44</v>
      </c>
      <c r="C31" s="12"/>
      <c r="D31" s="13"/>
      <c r="E31" s="13"/>
      <c r="F31" s="13"/>
      <c r="G31" s="13"/>
      <c r="H31" s="13">
        <v>15.1</v>
      </c>
      <c r="I31" s="13">
        <v>14.7</v>
      </c>
      <c r="J31" s="13">
        <v>14.3</v>
      </c>
      <c r="K31" s="13">
        <v>13.8</v>
      </c>
      <c r="L31" s="13">
        <v>13.4</v>
      </c>
      <c r="M31" s="13">
        <v>12.9</v>
      </c>
      <c r="N31" s="13">
        <v>12.1</v>
      </c>
      <c r="O31" s="14">
        <v>11.2</v>
      </c>
    </row>
    <row r="32" spans="2:15" x14ac:dyDescent="0.25">
      <c r="B32" s="7">
        <v>48</v>
      </c>
      <c r="C32" s="8"/>
      <c r="D32" s="9"/>
      <c r="E32" s="9"/>
      <c r="F32" s="9"/>
      <c r="G32" s="9"/>
      <c r="H32" s="9">
        <v>12.9</v>
      </c>
      <c r="I32" s="9">
        <v>12.5</v>
      </c>
      <c r="J32" s="9">
        <v>12.2</v>
      </c>
      <c r="K32" s="9">
        <v>11.7</v>
      </c>
      <c r="L32" s="9">
        <v>11.3</v>
      </c>
      <c r="M32" s="9">
        <v>10.7</v>
      </c>
      <c r="N32" s="9">
        <v>10.199999999999999</v>
      </c>
      <c r="O32" s="10">
        <v>9.3000000000000007</v>
      </c>
    </row>
    <row r="33" spans="2:15" x14ac:dyDescent="0.25">
      <c r="B33" s="11">
        <v>50</v>
      </c>
      <c r="C33" s="12"/>
      <c r="D33" s="13"/>
      <c r="E33" s="13"/>
      <c r="F33" s="13"/>
      <c r="G33" s="13"/>
      <c r="H33" s="13"/>
      <c r="I33" s="13">
        <v>11.6</v>
      </c>
      <c r="J33" s="13">
        <v>11.2</v>
      </c>
      <c r="K33" s="13">
        <v>10.7</v>
      </c>
      <c r="L33" s="13">
        <v>10.3</v>
      </c>
      <c r="M33" s="13">
        <v>9.8000000000000007</v>
      </c>
      <c r="N33" s="13">
        <v>9.3000000000000007</v>
      </c>
      <c r="O33" s="14">
        <v>8.5</v>
      </c>
    </row>
    <row r="34" spans="2:15" x14ac:dyDescent="0.25">
      <c r="B34" s="7">
        <v>55</v>
      </c>
      <c r="C34" s="8"/>
      <c r="D34" s="9"/>
      <c r="E34" s="9"/>
      <c r="F34" s="9"/>
      <c r="G34" s="9"/>
      <c r="H34" s="9"/>
      <c r="I34" s="9">
        <v>9.5</v>
      </c>
      <c r="J34" s="9">
        <v>9.1999999999999993</v>
      </c>
      <c r="K34" s="9">
        <v>8.6999999999999993</v>
      </c>
      <c r="L34" s="9">
        <v>8.3000000000000007</v>
      </c>
      <c r="M34" s="9">
        <v>7.8</v>
      </c>
      <c r="N34" s="9">
        <v>7.3</v>
      </c>
      <c r="O34" s="10">
        <v>6.6</v>
      </c>
    </row>
    <row r="35" spans="2:15" x14ac:dyDescent="0.25">
      <c r="B35" s="11">
        <v>60</v>
      </c>
      <c r="C35" s="12"/>
      <c r="D35" s="13"/>
      <c r="E35" s="13"/>
      <c r="F35" s="13"/>
      <c r="G35" s="13"/>
      <c r="H35" s="13"/>
      <c r="I35" s="13"/>
      <c r="J35" s="13">
        <v>7.4</v>
      </c>
      <c r="K35" s="13">
        <v>7</v>
      </c>
      <c r="L35" s="13">
        <v>6.6</v>
      </c>
      <c r="M35" s="13">
        <v>6.1</v>
      </c>
      <c r="N35" s="13">
        <v>5.7</v>
      </c>
      <c r="O35" s="14">
        <v>5.0999999999999996</v>
      </c>
    </row>
    <row r="36" spans="2:15" x14ac:dyDescent="0.25">
      <c r="B36" s="7">
        <v>65</v>
      </c>
      <c r="C36" s="8"/>
      <c r="D36" s="9"/>
      <c r="E36" s="9"/>
      <c r="F36" s="9"/>
      <c r="G36" s="9"/>
      <c r="H36" s="9"/>
      <c r="I36" s="9"/>
      <c r="J36" s="9"/>
      <c r="K36" s="9">
        <v>5.6</v>
      </c>
      <c r="L36" s="9">
        <v>5.2</v>
      </c>
      <c r="M36" s="9">
        <v>4.7</v>
      </c>
      <c r="N36" s="9">
        <v>4.3</v>
      </c>
      <c r="O36" s="10">
        <v>3.7</v>
      </c>
    </row>
    <row r="37" spans="2:15" x14ac:dyDescent="0.25">
      <c r="B37" s="11">
        <v>70</v>
      </c>
      <c r="C37" s="12"/>
      <c r="D37" s="13"/>
      <c r="E37" s="13"/>
      <c r="F37" s="13"/>
      <c r="G37" s="13"/>
      <c r="H37" s="13"/>
      <c r="I37" s="13"/>
      <c r="J37" s="13"/>
      <c r="K37" s="13"/>
      <c r="L37" s="13">
        <v>4</v>
      </c>
      <c r="M37" s="13">
        <v>3.5</v>
      </c>
      <c r="N37" s="13">
        <v>3</v>
      </c>
      <c r="O37" s="14">
        <v>2.5</v>
      </c>
    </row>
    <row r="38" spans="2:15" x14ac:dyDescent="0.25">
      <c r="B38" s="7">
        <v>75</v>
      </c>
      <c r="C38" s="8"/>
      <c r="D38" s="9"/>
      <c r="E38" s="9"/>
      <c r="F38" s="9"/>
      <c r="G38" s="9"/>
      <c r="H38" s="9"/>
      <c r="I38" s="9"/>
      <c r="J38" s="9"/>
      <c r="K38" s="9"/>
      <c r="L38" s="9"/>
      <c r="M38" s="9">
        <v>2.4</v>
      </c>
      <c r="N38" s="9">
        <v>2</v>
      </c>
      <c r="O38" s="10">
        <v>1.5</v>
      </c>
    </row>
    <row r="39" spans="2:15" ht="15.75" thickBot="1" x14ac:dyDescent="0.3">
      <c r="B39" s="17">
        <v>80</v>
      </c>
      <c r="C39" s="21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>
        <v>1.1000000000000001</v>
      </c>
      <c r="O39" s="23"/>
    </row>
  </sheetData>
  <mergeCells count="2">
    <mergeCell ref="B7:O7"/>
    <mergeCell ref="B6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2025-07-28T13:53:36Z</dcterms:modified>
</cp:coreProperties>
</file>